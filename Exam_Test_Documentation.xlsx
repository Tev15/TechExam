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nce\Downloads\"/>
    </mc:Choice>
  </mc:AlternateContent>
  <xr:revisionPtr revIDLastSave="0" documentId="13_ncr:1_{11304EC9-E095-46D0-BB23-9C7D7B59B448}" xr6:coauthVersionLast="47" xr6:coauthVersionMax="47" xr10:uidLastSave="{00000000-0000-0000-0000-000000000000}"/>
  <bookViews>
    <workbookView xWindow="16284" yWindow="-108" windowWidth="23256" windowHeight="12456" xr2:uid="{00000000-000D-0000-FFFF-FFFF00000000}"/>
  </bookViews>
  <sheets>
    <sheet name="Test Plan" sheetId="1" r:id="rId1"/>
    <sheet name="Test Cases" sheetId="2" r:id="rId2"/>
    <sheet name="Bug Reports" sheetId="3" r:id="rId3"/>
    <sheet name="Execution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3" i="4"/>
  <c r="G43" i="4" s="1"/>
  <c r="E4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</future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<sst xmlns="http://schemas.openxmlformats.org/spreadsheetml/2006/main" count="526" uniqueCount="249">
  <si>
    <t>QA Automation Test Plan — Exam Web Application</t>
  </si>
  <si>
    <t>1. Project Information</t>
  </si>
  <si>
    <t>Project Name</t>
  </si>
  <si>
    <t>Application URL</t>
  </si>
  <si>
    <t>http://35.78.90.242:8080/exam/login</t>
  </si>
  <si>
    <t>Test User</t>
  </si>
  <si>
    <t>sakamoto</t>
  </si>
  <si>
    <t>Framework</t>
  </si>
  <si>
    <t>IDE</t>
  </si>
  <si>
    <t>Build Tool</t>
  </si>
  <si>
    <t>Maven 3.8+</t>
  </si>
  <si>
    <t>Report Tool</t>
  </si>
  <si>
    <t>ExtentReports 5 (HTML) + Log4j2 (rolling log)</t>
  </si>
  <si>
    <t>Prepared By</t>
  </si>
  <si>
    <t>Date</t>
  </si>
  <si>
    <t>2. Test Objectives</t>
  </si>
  <si>
    <t xml:space="preserve">  1. Verify user authentication (login / logout) with valid and invalid credentials.</t>
  </si>
  <si>
    <t xml:space="preserve">  3. Verify form fields accept valid data and reject invalid / empty inputs.</t>
  </si>
  <si>
    <t xml:space="preserve">  4. Verify error handling — invalid URLs, double-clicks, and edge cases.</t>
  </si>
  <si>
    <t xml:space="preserve">  5. Confirm the application is stable under normal user interaction sequences.</t>
  </si>
  <si>
    <t>3. Scope</t>
  </si>
  <si>
    <t>In Scope</t>
  </si>
  <si>
    <t>Out of Scope</t>
  </si>
  <si>
    <t>Browser</t>
  </si>
  <si>
    <t>Google Chrome (latest) — primary; Firefox optional</t>
  </si>
  <si>
    <t>OS</t>
  </si>
  <si>
    <t>4. Entry / Exit Criteria</t>
  </si>
  <si>
    <t>Entry Criteria</t>
  </si>
  <si>
    <t>Application URL is accessible | Test credentials valid | Maven build succeeds | Chrome installed</t>
  </si>
  <si>
    <t>Exit Criteria</t>
  </si>
  <si>
    <t>5. Test Suite Summary</t>
  </si>
  <si>
    <t>Suite</t>
  </si>
  <si>
    <t>Class</t>
  </si>
  <si>
    <t>TCs</t>
  </si>
  <si>
    <t>Groups</t>
  </si>
  <si>
    <t>Priority</t>
  </si>
  <si>
    <t>Description</t>
  </si>
  <si>
    <t>Authentication</t>
  </si>
  <si>
    <t>LoginTest</t>
  </si>
  <si>
    <t>TC001–TC007</t>
  </si>
  <si>
    <t>High</t>
  </si>
  <si>
    <t>Login / logout with valid and invalid credentials</t>
  </si>
  <si>
    <t>Navigation</t>
  </si>
  <si>
    <t>NavigationTest</t>
  </si>
  <si>
    <t>smoke, navigation, regression</t>
  </si>
  <si>
    <t>FormTest</t>
  </si>
  <si>
    <t>Medium</t>
  </si>
  <si>
    <t>Test Cases — Exam Web Application Automation</t>
  </si>
  <si>
    <t>TC ID</t>
  </si>
  <si>
    <t>Test Name</t>
  </si>
  <si>
    <t>Pre-Conditions</t>
  </si>
  <si>
    <t>Test Steps</t>
  </si>
  <si>
    <t>Expected Result</t>
  </si>
  <si>
    <t>Actual Result</t>
  </si>
  <si>
    <t>Status</t>
  </si>
  <si>
    <t>Notes</t>
  </si>
  <si>
    <t>TC001</t>
  </si>
  <si>
    <t>Valid Login</t>
  </si>
  <si>
    <t>1. Open login page
2. Enter user: sakamoto
3. Enter pass: 1234passWord
4. Click Login</t>
  </si>
  <si>
    <t>TC002</t>
  </si>
  <si>
    <t>Invalid Login – Wrong Password</t>
  </si>
  <si>
    <t>1. Open login page
2. Enter user: sakamoto
3. Enter pass: wrongPassword!
4. Click Login</t>
  </si>
  <si>
    <t>Error message is displayed. User stays on login page.</t>
  </si>
  <si>
    <t>TC003</t>
  </si>
  <si>
    <t>Invalid Login – Wrong Username</t>
  </si>
  <si>
    <t>1. Open login page
2. Enter user: noSuchUser
3. Enter pass: 1234passWord
4. Click Login</t>
  </si>
  <si>
    <t>TC004</t>
  </si>
  <si>
    <t>Login – Empty Credentials</t>
  </si>
  <si>
    <t>1. Open login page
2. Leave all fields empty
3. Click Login</t>
  </si>
  <si>
    <t>TC005</t>
  </si>
  <si>
    <t>Login – Empty Username</t>
  </si>
  <si>
    <t>1. Open login page
2. Leave username empty
3. Enter valid password
4. Click Login</t>
  </si>
  <si>
    <t>TC006</t>
  </si>
  <si>
    <t>Login – Empty Password</t>
  </si>
  <si>
    <t>1. Open login page
2. Enter valid username
3. Leave password empty
4. Click Login</t>
  </si>
  <si>
    <t>TC007</t>
  </si>
  <si>
    <t>Successful Logout</t>
  </si>
  <si>
    <t>User is logged in (TC001 passed)</t>
  </si>
  <si>
    <t>1. Log in with valid credentials
2. Click Logout link
3. Observe result</t>
  </si>
  <si>
    <t>User is redirected to login page. Session is cleared.</t>
  </si>
  <si>
    <t>TC008</t>
  </si>
  <si>
    <t>Home Page Loads After Login</t>
  </si>
  <si>
    <t>User is logged in</t>
  </si>
  <si>
    <t>1. Log in
2. Observe URL and page title</t>
  </si>
  <si>
    <t>URL does not contain 'login'. Page title is non-blank.</t>
  </si>
  <si>
    <t>TC009</t>
  </si>
  <si>
    <t>TC010</t>
  </si>
  <si>
    <t>TC011</t>
  </si>
  <si>
    <t>Direct URL to Login While Logged In</t>
  </si>
  <si>
    <t>1. Log in
2. Directly navigate to login URL</t>
  </si>
  <si>
    <t>Application either redirects to home OR shows login page (no crash).</t>
  </si>
  <si>
    <t>Low</t>
  </si>
  <si>
    <t>TC012</t>
  </si>
  <si>
    <t>Page Titles Not Blank</t>
  </si>
  <si>
    <t>Every page has a non-blank browser title.</t>
  </si>
  <si>
    <t>Forms</t>
  </si>
  <si>
    <t>Text Input Retains Value</t>
  </si>
  <si>
    <t>User is logged in; text input visible</t>
  </si>
  <si>
    <t>Input value attribute equals the typed string.</t>
  </si>
  <si>
    <t>Error Handling</t>
  </si>
  <si>
    <t>Invalid URL Returns Error Page</t>
  </si>
  <si>
    <t>1. Log in
2. Navigate to a non-existent path (e.g. /exam/page-not-exist)</t>
  </si>
  <si>
    <t>Server returns a non-blank response (404 or custom error page). No white blank screen.</t>
  </si>
  <si>
    <t>Bug Report Log — Exam Web Application</t>
  </si>
  <si>
    <t>Bug ID</t>
  </si>
  <si>
    <t>Linked TC</t>
  </si>
  <si>
    <t>Title</t>
  </si>
  <si>
    <t>Severity</t>
  </si>
  <si>
    <t>Environment</t>
  </si>
  <si>
    <t>Steps to Reproduce</t>
  </si>
  <si>
    <t>Expected</t>
  </si>
  <si>
    <t>Actual</t>
  </si>
  <si>
    <t>BUG-001</t>
  </si>
  <si>
    <t>Chrome / Win11</t>
  </si>
  <si>
    <t>Error message shown below the form.</t>
  </si>
  <si>
    <t>Open</t>
  </si>
  <si>
    <t>Test Execution Log</t>
  </si>
  <si>
    <t>Run #</t>
  </si>
  <si>
    <t>Duration (s)</t>
  </si>
  <si>
    <t>Screenshot</t>
  </si>
  <si>
    <t>Chrome</t>
  </si>
  <si>
    <t>TOTALS</t>
  </si>
  <si>
    <t>Steve Florence Estoconing</t>
  </si>
  <si>
    <t>User is redirected to Home page. Logout link visible.</t>
  </si>
  <si>
    <t>URL is accessible</t>
  </si>
  <si>
    <t>[Confirm Bug] LoginPage: HTTP Internal Error 500 Occurs when logging in with Empty Username</t>
  </si>
  <si>
    <t>User ID Retains Value</t>
  </si>
  <si>
    <t>1. Log in
2. Find Username Input
3. Enter user: sakamoto
4. Read value attribute
5. Click Login Button</t>
  </si>
  <si>
    <t>1. Log in
2. Navigate to home page and login page
3. Check title each time</t>
  </si>
  <si>
    <t>TC008–TC010</t>
  </si>
  <si>
    <t>TC011–TC012</t>
  </si>
  <si>
    <t>form, errorhandling</t>
  </si>
  <si>
    <t>Home Page Login and URL handling</t>
  </si>
  <si>
    <t>Username retention, stability</t>
  </si>
  <si>
    <t>smoke, auth, negative, regression</t>
  </si>
  <si>
    <t>Form &amp; Error Handling</t>
  </si>
  <si>
    <t>Windows 10/11</t>
  </si>
  <si>
    <t>Tech Exam Automation</t>
  </si>
  <si>
    <t>Eclipse IDE 2026-03</t>
  </si>
  <si>
    <t xml:space="preserve">  2. Verify navigation between login and home pages correctly.</t>
  </si>
  <si>
    <t>LoginPage: HTTP Internal Error 500 Occurs when logging in with Empty Username</t>
  </si>
  <si>
    <t>1. Open login page
2. Leave Username Empty
3. Enter any password.
4. Click Login</t>
  </si>
  <si>
    <t>HTTP Internal Server Error 500 Occurs</t>
  </si>
  <si>
    <t>Edge Cases</t>
  </si>
  <si>
    <t>EdgeCaseTest</t>
  </si>
  <si>
    <t>EC001</t>
  </si>
  <si>
    <t>EC002</t>
  </si>
  <si>
    <t>EC003</t>
  </si>
  <si>
    <t>EC004</t>
  </si>
  <si>
    <t>EC005</t>
  </si>
  <si>
    <t>EC006</t>
  </si>
  <si>
    <t>EC007</t>
  </si>
  <si>
    <t>EC008</t>
  </si>
  <si>
    <t>Edge Case</t>
  </si>
  <si>
    <t>Whitespace-only Username</t>
  </si>
  <si>
    <t>Whitespace-only Password</t>
  </si>
  <si>
    <t>Case sensitivity of Username</t>
  </si>
  <si>
    <t>Oversized username (500 chars)</t>
  </si>
  <si>
    <t>Oversized password (1000 chars)</t>
  </si>
  <si>
    <t>Leading and trailing spaces around valid username.</t>
  </si>
  <si>
    <t>Leading and trailing values around valid username</t>
  </si>
  <si>
    <t>Back button after logout</t>
  </si>
  <si>
    <t>1. Open login page
2. Enter whitespaces in username. ("    ")
3. Enter pass: 1234passWord
4. Click Login</t>
  </si>
  <si>
    <t>Internal Server Error 500 will occur
(based on TC005 Result)</t>
  </si>
  <si>
    <t>1. Open login page
2. Enter user: sakamoto
3. Enter white spaces in password
4. Click Login</t>
  </si>
  <si>
    <t>1. Open login page
2. Enter user: SAKAMOTO
3. Enter pass: 1234passWord
4. Click Login</t>
  </si>
  <si>
    <t>1. Open login page
2. Enter user: SAKAMOTO
3. Enter pass: 1234passWord1234passWord....
4. Click Login</t>
  </si>
  <si>
    <t>1. Open login page
2. Enter user: adminsteveadminsteve…....
3. Enter pass: 1234passWord
4. Click Login</t>
  </si>
  <si>
    <t>FireFox</t>
  </si>
  <si>
    <t>PASS</t>
  </si>
  <si>
    <t>FAIL</t>
  </si>
  <si>
    <t>EC001–EC008</t>
  </si>
  <si>
    <t>All 12 test cases and 8 edge cases executed | Pass rate ≥ 90% | All failures documented with screenshots | Report generated</t>
  </si>
  <si>
    <t>OK</t>
  </si>
  <si>
    <t>LOGIN SUCCESSFUL</t>
  </si>
  <si>
    <t>Error Message Displayed</t>
  </si>
  <si>
    <t>HTTP Internal Server Error 500</t>
  </si>
  <si>
    <t>Redirected to Login Page</t>
  </si>
  <si>
    <t>Home Page successfully loaded
Home Page has its own Title</t>
  </si>
  <si>
    <t>Redirects to Login Page</t>
  </si>
  <si>
    <t>Home Page has its Title
Login Page has its Title</t>
  </si>
  <si>
    <t>UserID retains after 
unsuccessful attempt</t>
  </si>
  <si>
    <t>HTTP STATUS 404</t>
  </si>
  <si>
    <t>NG</t>
  </si>
  <si>
    <t>Content Visible in Home Page</t>
  </si>
  <si>
    <t>1. Log in
2. Click Logout Button
3. Click Browser Back Button.
4 Verify Contents</t>
  </si>
  <si>
    <t>Contents are unaccessible after logout</t>
  </si>
  <si>
    <t>00:00:01:222</t>
  </si>
  <si>
    <t>00:00:01:016</t>
  </si>
  <si>
    <t>00:00:00:996</t>
  </si>
  <si>
    <t>00:00:01:519</t>
  </si>
  <si>
    <t>00:00:20:979</t>
  </si>
  <si>
    <t>00:00:01:286</t>
  </si>
  <si>
    <t>00:00:01:526</t>
  </si>
  <si>
    <t>00:00:00:854</t>
  </si>
  <si>
    <t>00:00:01:657</t>
  </si>
  <si>
    <t>00:00:01:206</t>
  </si>
  <si>
    <t>00:00:01:082</t>
  </si>
  <si>
    <t>00:00:00:430</t>
  </si>
  <si>
    <t>00:00:21:036</t>
  </si>
  <si>
    <t>00:00:20:988</t>
  </si>
  <si>
    <t>00:00:20:997</t>
  </si>
  <si>
    <t>00:00:21:541</t>
  </si>
  <si>
    <t>00:00:21:540</t>
  </si>
  <si>
    <t>00:00:21:029</t>
  </si>
  <si>
    <t>00:01:02:812</t>
  </si>
  <si>
    <t>00:00:01:593</t>
  </si>
  <si>
    <t>00:00:00:635</t>
  </si>
  <si>
    <t>00:00:01:248</t>
  </si>
  <si>
    <t>00:00:01:199</t>
  </si>
  <si>
    <t>00:00:01:151</t>
  </si>
  <si>
    <t>00:00:21:033</t>
  </si>
  <si>
    <t>00:00:00:967</t>
  </si>
  <si>
    <t>00:00:01:125</t>
  </si>
  <si>
    <t>00:00:00:851</t>
  </si>
  <si>
    <t>00:00:01:540</t>
  </si>
  <si>
    <t>00:00:00:918</t>
  </si>
  <si>
    <t>00:00:01:294</t>
  </si>
  <si>
    <t>00:00:00:537</t>
  </si>
  <si>
    <t>00:00:21:240</t>
  </si>
  <si>
    <t>00:00:21:015</t>
  </si>
  <si>
    <t>00:00:21:280</t>
  </si>
  <si>
    <t>00:00:21:326</t>
  </si>
  <si>
    <t>00:00:20:838</t>
  </si>
  <si>
    <t>00:01:02:461</t>
  </si>
  <si>
    <t>00:00:01:425</t>
  </si>
  <si>
    <t>Duration</t>
  </si>
  <si>
    <t>edge, input-boundary, session</t>
  </si>
  <si>
    <t>Username and password validation, Session content</t>
  </si>
  <si>
    <t>Confirm Bug: LoginPage: HTTP Internal Error 500 Occurs when logging in with Empty Username</t>
  </si>
  <si>
    <t>BUG-002</t>
  </si>
  <si>
    <t>EC006
EC007</t>
  </si>
  <si>
    <t>BUG-003</t>
  </si>
  <si>
    <t>LoginPage: Username Inputs with Leading and Trailing Values can login successfully</t>
  </si>
  <si>
    <t>Critical</t>
  </si>
  <si>
    <t>1. Log in
2. Enter username "     sakamoto     ".
3. Enter password: 1234passWord
4. Click Login.</t>
  </si>
  <si>
    <t>1. Log in
2. Enter username "1234sakamoto5678".
3. Enter password: 1234passWord
4. Click Login.</t>
  </si>
  <si>
    <t>1. Log in
2. Enter username "     sakamoto     " or "1234sakamoto5678"
3. Enter password: 1234passWord
4. Click Login.</t>
  </si>
  <si>
    <t>Login Successful.
Any user can login as long as it contains valid credentials</t>
  </si>
  <si>
    <t>1. Login with valid credentials
2. Click Log out.
3. After Logout, click Browser Back Button.
4. Verify contents.</t>
  </si>
  <si>
    <t>HomePage: Contents Accessible after clicking Back Button after Logout</t>
  </si>
  <si>
    <t>Content Visible in Home Page.
Contents accessible even after logout</t>
  </si>
  <si>
    <t>Selenium WebDriver 4.44 + TestNG 7.9 + Java 11</t>
  </si>
  <si>
    <t>Login, Logout, Form Interactions, Error Handling, UI Stability</t>
  </si>
  <si>
    <t>Performance testing, Security penetration testing, Mobile browser testing, API testing</t>
  </si>
  <si>
    <t>No Screenshot, Verifying Titles</t>
  </si>
  <si>
    <t>Screenshot #2</t>
  </si>
  <si>
    <t>Screenshot #3</t>
  </si>
  <si>
    <t>Test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</si>
</sst>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76" formatCode="0.00&quot; min&quot;"/>
  </numFmts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sz val="10"/>
      <color rgb="FF9C0006"/>
      <name val="Arial"/>
    </font>
    <font>
      <sz val="10"/>
      <color rgb="FF9C5700"/>
      <name val="Arial"/>
    </font>
    <font>
      <sz val="10"/>
      <color rgb="FF375623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9C000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6" fontId="10" fillId="6" borderId="1" xfId="0" applyNumberFormat="1" applyFont="1" applyFill="1" applyBorder="1" applyAlignment="1">
      <alignment horizontal="center" vertical="center" wrapText="1"/>
    </xf>
    <xf numFmtId="46" fontId="10" fillId="6" borderId="2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5" fontId="4" fillId="6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1">
    <v>0</v>
    <v>5</v>
    <v>EC007-USERNAME_WITH_1234sakamoto5678</v>
  </rv>
  <rv s="1">
    <v>0</v>
    <v>5</v>
    <v>EC007-USERNAME_WITH_ADMINsakamoto</v>
  </rv>
  <rv s="1">
    <v>0</v>
    <v>5</v>
    <v>EC007-USERNAME_WITH_sakamoto12345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1">
    <v>12</v>
    <v>5</v>
    <v>EC007-USERNAME_WITH_1234sakamoto5678</v>
  </rv>
  <rv s="1">
    <v>12</v>
    <v>5</v>
    <v>EC007-USERNAME_WITH_ADMINsakamoto</v>
  </rv>
  <rv s="1">
    <v>12</v>
    <v>5</v>
    <v>EC007-USERNAME_WITH_sakamoto12345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4" customWidth="1"/>
    <col min="4" max="4" width="35" customWidth="1"/>
    <col min="5" max="5" width="12" customWidth="1"/>
    <col min="6" max="6" width="52" customWidth="1"/>
    <col min="7" max="7" width="5" customWidth="1"/>
  </cols>
  <sheetData>
    <row r="1" spans="1:7" ht="50.1" customHeight="1" x14ac:dyDescent="0.25">
      <c r="A1" s="21" t="s">
        <v>0</v>
      </c>
      <c r="B1" s="17"/>
      <c r="C1" s="17"/>
      <c r="D1" s="17"/>
      <c r="E1" s="17"/>
      <c r="F1" s="17"/>
      <c r="G1" s="17"/>
    </row>
    <row r="2" spans="1:7" ht="24" customHeight="1" x14ac:dyDescent="0.25"/>
    <row r="3" spans="1:7" ht="20.100000000000001" customHeight="1" x14ac:dyDescent="0.25">
      <c r="A3" s="19" t="s">
        <v>1</v>
      </c>
      <c r="B3" s="17"/>
      <c r="C3" s="17"/>
      <c r="D3" s="17"/>
      <c r="E3" s="17"/>
      <c r="F3" s="17"/>
      <c r="G3" s="17"/>
    </row>
    <row r="4" spans="1:7" x14ac:dyDescent="0.25">
      <c r="A4" s="18" t="s">
        <v>2</v>
      </c>
      <c r="B4" s="17"/>
      <c r="C4" s="16" t="s">
        <v>137</v>
      </c>
      <c r="D4" s="17"/>
      <c r="E4" s="17"/>
      <c r="F4" s="17"/>
      <c r="G4" s="17"/>
    </row>
    <row r="5" spans="1:7" x14ac:dyDescent="0.25">
      <c r="A5" s="18" t="s">
        <v>3</v>
      </c>
      <c r="B5" s="17"/>
      <c r="C5" s="16" t="s">
        <v>4</v>
      </c>
      <c r="D5" s="17"/>
      <c r="E5" s="17"/>
      <c r="F5" s="17"/>
      <c r="G5" s="17"/>
    </row>
    <row r="6" spans="1:7" x14ac:dyDescent="0.25">
      <c r="A6" s="18" t="s">
        <v>5</v>
      </c>
      <c r="B6" s="17"/>
      <c r="C6" s="16" t="s">
        <v>6</v>
      </c>
      <c r="D6" s="17"/>
      <c r="E6" s="17"/>
      <c r="F6" s="17"/>
      <c r="G6" s="17"/>
    </row>
    <row r="7" spans="1:7" x14ac:dyDescent="0.25">
      <c r="A7" s="18" t="s">
        <v>7</v>
      </c>
      <c r="B7" s="17"/>
      <c r="C7" s="31" t="s">
        <v>242</v>
      </c>
      <c r="D7" s="17"/>
      <c r="E7" s="17"/>
      <c r="F7" s="17"/>
      <c r="G7" s="17"/>
    </row>
    <row r="8" spans="1:7" x14ac:dyDescent="0.25">
      <c r="A8" s="18" t="s">
        <v>8</v>
      </c>
      <c r="B8" s="17"/>
      <c r="C8" s="16" t="s">
        <v>138</v>
      </c>
      <c r="D8" s="17"/>
      <c r="E8" s="17"/>
      <c r="F8" s="17"/>
      <c r="G8" s="17"/>
    </row>
    <row r="9" spans="1:7" x14ac:dyDescent="0.25">
      <c r="A9" s="18" t="s">
        <v>9</v>
      </c>
      <c r="B9" s="17"/>
      <c r="C9" s="16" t="s">
        <v>10</v>
      </c>
      <c r="D9" s="17"/>
      <c r="E9" s="17"/>
      <c r="F9" s="17"/>
      <c r="G9" s="17"/>
    </row>
    <row r="10" spans="1:7" x14ac:dyDescent="0.25">
      <c r="A10" s="18" t="s">
        <v>11</v>
      </c>
      <c r="B10" s="17"/>
      <c r="C10" s="16" t="s">
        <v>12</v>
      </c>
      <c r="D10" s="17"/>
      <c r="E10" s="17"/>
      <c r="F10" s="17"/>
      <c r="G10" s="17"/>
    </row>
    <row r="11" spans="1:7" x14ac:dyDescent="0.25">
      <c r="A11" s="18" t="s">
        <v>13</v>
      </c>
      <c r="B11" s="17"/>
      <c r="C11" s="16" t="s">
        <v>122</v>
      </c>
      <c r="D11" s="17"/>
      <c r="E11" s="17"/>
      <c r="F11" s="17"/>
      <c r="G11" s="17"/>
    </row>
    <row r="12" spans="1:7" x14ac:dyDescent="0.25">
      <c r="A12" s="18" t="s">
        <v>14</v>
      </c>
      <c r="B12" s="17"/>
      <c r="C12" s="22">
        <v>46174</v>
      </c>
      <c r="D12" s="23"/>
      <c r="E12" s="23"/>
      <c r="F12" s="23"/>
      <c r="G12" s="23"/>
    </row>
    <row r="14" spans="1:7" ht="20.100000000000001" customHeight="1" x14ac:dyDescent="0.25">
      <c r="A14" s="19" t="s">
        <v>15</v>
      </c>
      <c r="B14" s="17"/>
      <c r="C14" s="17"/>
      <c r="D14" s="17"/>
      <c r="E14" s="17"/>
      <c r="F14" s="17"/>
      <c r="G14" s="17"/>
    </row>
    <row r="15" spans="1:7" x14ac:dyDescent="0.25">
      <c r="A15" s="16" t="s">
        <v>16</v>
      </c>
      <c r="B15" s="17"/>
      <c r="C15" s="17"/>
      <c r="D15" s="17"/>
      <c r="E15" s="17"/>
      <c r="F15" s="17"/>
      <c r="G15" s="17"/>
    </row>
    <row r="16" spans="1:7" x14ac:dyDescent="0.25">
      <c r="A16" s="20" t="s">
        <v>139</v>
      </c>
      <c r="B16" s="17"/>
      <c r="C16" s="17"/>
      <c r="D16" s="17"/>
      <c r="E16" s="17"/>
      <c r="F16" s="17"/>
      <c r="G16" s="17"/>
    </row>
    <row r="17" spans="1:7" x14ac:dyDescent="0.25">
      <c r="A17" s="16" t="s">
        <v>17</v>
      </c>
      <c r="B17" s="17"/>
      <c r="C17" s="17"/>
      <c r="D17" s="17"/>
      <c r="E17" s="17"/>
      <c r="F17" s="17"/>
      <c r="G17" s="17"/>
    </row>
    <row r="18" spans="1:7" x14ac:dyDescent="0.25">
      <c r="A18" s="20" t="s">
        <v>18</v>
      </c>
      <c r="B18" s="17"/>
      <c r="C18" s="17"/>
      <c r="D18" s="17"/>
      <c r="E18" s="17"/>
      <c r="F18" s="17"/>
      <c r="G18" s="17"/>
    </row>
    <row r="19" spans="1:7" x14ac:dyDescent="0.25">
      <c r="A19" s="16" t="s">
        <v>19</v>
      </c>
      <c r="B19" s="17"/>
      <c r="C19" s="17"/>
      <c r="D19" s="17"/>
      <c r="E19" s="17"/>
      <c r="F19" s="17"/>
      <c r="G19" s="17"/>
    </row>
    <row r="21" spans="1:7" ht="20.100000000000001" customHeight="1" x14ac:dyDescent="0.25">
      <c r="A21" s="19" t="s">
        <v>20</v>
      </c>
      <c r="B21" s="17"/>
      <c r="C21" s="17"/>
      <c r="D21" s="17"/>
      <c r="E21" s="17"/>
      <c r="F21" s="17"/>
      <c r="G21" s="17"/>
    </row>
    <row r="22" spans="1:7" x14ac:dyDescent="0.25">
      <c r="A22" s="18" t="s">
        <v>21</v>
      </c>
      <c r="B22" s="17"/>
      <c r="C22" s="31" t="s">
        <v>243</v>
      </c>
      <c r="D22" s="17"/>
      <c r="E22" s="17"/>
      <c r="F22" s="17"/>
      <c r="G22" s="17"/>
    </row>
    <row r="23" spans="1:7" x14ac:dyDescent="0.25">
      <c r="A23" s="18" t="s">
        <v>22</v>
      </c>
      <c r="B23" s="17"/>
      <c r="C23" s="31" t="s">
        <v>244</v>
      </c>
      <c r="D23" s="17"/>
      <c r="E23" s="17"/>
      <c r="F23" s="17"/>
      <c r="G23" s="17"/>
    </row>
    <row r="24" spans="1:7" x14ac:dyDescent="0.25">
      <c r="A24" s="18" t="s">
        <v>23</v>
      </c>
      <c r="B24" s="17"/>
      <c r="C24" s="16" t="s">
        <v>24</v>
      </c>
      <c r="D24" s="17"/>
      <c r="E24" s="17"/>
      <c r="F24" s="17"/>
      <c r="G24" s="17"/>
    </row>
    <row r="25" spans="1:7" x14ac:dyDescent="0.25">
      <c r="A25" s="18" t="s">
        <v>25</v>
      </c>
      <c r="B25" s="17"/>
      <c r="C25" s="16" t="s">
        <v>136</v>
      </c>
      <c r="D25" s="17"/>
      <c r="E25" s="17"/>
      <c r="F25" s="17"/>
      <c r="G25" s="17"/>
    </row>
    <row r="27" spans="1:7" ht="20.100000000000001" customHeight="1" x14ac:dyDescent="0.25">
      <c r="A27" s="19" t="s">
        <v>26</v>
      </c>
      <c r="B27" s="17"/>
      <c r="C27" s="17"/>
      <c r="D27" s="17"/>
      <c r="E27" s="17"/>
      <c r="F27" s="17"/>
      <c r="G27" s="17"/>
    </row>
    <row r="28" spans="1:7" x14ac:dyDescent="0.25">
      <c r="A28" s="18" t="s">
        <v>27</v>
      </c>
      <c r="B28" s="17"/>
      <c r="C28" s="16" t="s">
        <v>28</v>
      </c>
      <c r="D28" s="17"/>
      <c r="E28" s="17"/>
      <c r="F28" s="17"/>
      <c r="G28" s="17"/>
    </row>
    <row r="29" spans="1:7" x14ac:dyDescent="0.25">
      <c r="A29" s="18" t="s">
        <v>29</v>
      </c>
      <c r="B29" s="17"/>
      <c r="C29" s="31" t="s">
        <v>172</v>
      </c>
      <c r="D29" s="17"/>
      <c r="E29" s="17"/>
      <c r="F29" s="17"/>
      <c r="G29" s="17"/>
    </row>
    <row r="31" spans="1:7" ht="20.100000000000001" customHeight="1" x14ac:dyDescent="0.25">
      <c r="A31" s="19" t="s">
        <v>30</v>
      </c>
      <c r="B31" s="17"/>
      <c r="C31" s="17"/>
      <c r="D31" s="17"/>
      <c r="E31" s="17"/>
      <c r="F31" s="17"/>
      <c r="G31" s="17"/>
    </row>
    <row r="32" spans="1:7" x14ac:dyDescent="0.25">
      <c r="A32" s="3" t="s">
        <v>31</v>
      </c>
      <c r="B32" s="3" t="s">
        <v>32</v>
      </c>
      <c r="C32" s="3" t="s">
        <v>33</v>
      </c>
      <c r="D32" s="3" t="s">
        <v>34</v>
      </c>
      <c r="E32" s="3" t="s">
        <v>35</v>
      </c>
      <c r="F32" s="3" t="s">
        <v>36</v>
      </c>
    </row>
    <row r="33" spans="1:6" x14ac:dyDescent="0.25">
      <c r="A33" s="1" t="s">
        <v>37</v>
      </c>
      <c r="B33" s="1" t="s">
        <v>38</v>
      </c>
      <c r="C33" s="1" t="s">
        <v>39</v>
      </c>
      <c r="D33" s="1" t="s">
        <v>134</v>
      </c>
      <c r="E33" s="1" t="s">
        <v>40</v>
      </c>
      <c r="F33" s="1" t="s">
        <v>41</v>
      </c>
    </row>
    <row r="34" spans="1:6" x14ac:dyDescent="0.25">
      <c r="A34" s="2" t="s">
        <v>42</v>
      </c>
      <c r="B34" s="2" t="s">
        <v>43</v>
      </c>
      <c r="C34" s="2" t="s">
        <v>129</v>
      </c>
      <c r="D34" s="2" t="s">
        <v>44</v>
      </c>
      <c r="E34" s="2" t="s">
        <v>40</v>
      </c>
      <c r="F34" s="2" t="s">
        <v>132</v>
      </c>
    </row>
    <row r="35" spans="1:6" x14ac:dyDescent="0.25">
      <c r="A35" s="1" t="s">
        <v>135</v>
      </c>
      <c r="B35" s="1" t="s">
        <v>45</v>
      </c>
      <c r="C35" s="1" t="s">
        <v>130</v>
      </c>
      <c r="D35" s="1" t="s">
        <v>131</v>
      </c>
      <c r="E35" s="1" t="s">
        <v>46</v>
      </c>
      <c r="F35" s="1" t="s">
        <v>133</v>
      </c>
    </row>
    <row r="36" spans="1:6" x14ac:dyDescent="0.25">
      <c r="A36" s="2" t="s">
        <v>143</v>
      </c>
      <c r="B36" s="2" t="s">
        <v>144</v>
      </c>
      <c r="C36" s="13" t="s">
        <v>171</v>
      </c>
      <c r="D36" s="13" t="s">
        <v>227</v>
      </c>
      <c r="E36" s="13" t="s">
        <v>46</v>
      </c>
      <c r="F36" s="13" t="s">
        <v>228</v>
      </c>
    </row>
  </sheetData>
  <mergeCells count="41">
    <mergeCell ref="C9:G9"/>
    <mergeCell ref="C6:G6"/>
    <mergeCell ref="C24:G24"/>
    <mergeCell ref="A11:B11"/>
    <mergeCell ref="A1:G1"/>
    <mergeCell ref="C12:G12"/>
    <mergeCell ref="A5:B5"/>
    <mergeCell ref="C11:G11"/>
    <mergeCell ref="A16:G16"/>
    <mergeCell ref="C8:G8"/>
    <mergeCell ref="A8:B8"/>
    <mergeCell ref="A4:B4"/>
    <mergeCell ref="C7:G7"/>
    <mergeCell ref="A3:G3"/>
    <mergeCell ref="A10:B10"/>
    <mergeCell ref="A9:B9"/>
    <mergeCell ref="C4:G4"/>
    <mergeCell ref="A7:B7"/>
    <mergeCell ref="C22:G22"/>
    <mergeCell ref="A12:B12"/>
    <mergeCell ref="A23:B23"/>
    <mergeCell ref="C23:G23"/>
    <mergeCell ref="A22:B22"/>
    <mergeCell ref="A18:G18"/>
    <mergeCell ref="A21:G21"/>
    <mergeCell ref="C5:G5"/>
    <mergeCell ref="A19:G19"/>
    <mergeCell ref="A6:B6"/>
    <mergeCell ref="A31:G31"/>
    <mergeCell ref="A14:G14"/>
    <mergeCell ref="A24:B24"/>
    <mergeCell ref="A17:G17"/>
    <mergeCell ref="C29:G29"/>
    <mergeCell ref="A29:B29"/>
    <mergeCell ref="A27:G27"/>
    <mergeCell ref="A28:B28"/>
    <mergeCell ref="C28:G28"/>
    <mergeCell ref="A25:B25"/>
    <mergeCell ref="C10:G10"/>
    <mergeCell ref="C25:G25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zoomScale="70" zoomScaleNormal="70" workbookViewId="0">
      <selection activeCell="D3" sqref="D3"/>
    </sheetView>
  </sheetViews>
  <sheetFormatPr defaultRowHeight="15" x14ac:dyDescent="0.25"/>
  <cols>
    <col min="1" max="1" width="8" customWidth="1"/>
    <col min="2" max="2" width="15" customWidth="1"/>
    <col min="3" max="3" width="30" customWidth="1"/>
    <col min="4" max="4" width="28" customWidth="1"/>
    <col min="5" max="6" width="42" customWidth="1"/>
    <col min="7" max="7" width="30" customWidth="1"/>
    <col min="8" max="9" width="10" customWidth="1"/>
    <col min="10" max="10" width="22" customWidth="1"/>
  </cols>
  <sheetData>
    <row r="1" spans="1:10" ht="36" customHeight="1" x14ac:dyDescent="0.25">
      <c r="A1" s="24" t="s">
        <v>47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1.95" customHeight="1" x14ac:dyDescent="0.25">
      <c r="A2" s="3" t="s">
        <v>48</v>
      </c>
      <c r="B2" s="37" t="s">
        <v>248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35</v>
      </c>
      <c r="J2" s="3" t="s">
        <v>55</v>
      </c>
    </row>
    <row r="3" spans="1:10" ht="69.95" customHeight="1" x14ac:dyDescent="0.25">
      <c r="A3" s="4" t="s">
        <v>56</v>
      </c>
      <c r="B3" s="2" t="s">
        <v>37</v>
      </c>
      <c r="C3" s="5" t="s">
        <v>57</v>
      </c>
      <c r="D3" s="13" t="s">
        <v>124</v>
      </c>
      <c r="E3" s="13" t="s">
        <v>58</v>
      </c>
      <c r="F3" s="13" t="s">
        <v>123</v>
      </c>
      <c r="G3" s="32" t="s">
        <v>174</v>
      </c>
      <c r="H3" s="33" t="s">
        <v>173</v>
      </c>
      <c r="I3" s="6" t="s">
        <v>40</v>
      </c>
      <c r="J3" s="2"/>
    </row>
    <row r="4" spans="1:10" ht="69.95" customHeight="1" x14ac:dyDescent="0.25">
      <c r="A4" s="4" t="s">
        <v>59</v>
      </c>
      <c r="B4" s="1" t="s">
        <v>37</v>
      </c>
      <c r="C4" s="7" t="s">
        <v>60</v>
      </c>
      <c r="D4" s="14" t="s">
        <v>124</v>
      </c>
      <c r="E4" s="1" t="s">
        <v>61</v>
      </c>
      <c r="F4" s="1" t="s">
        <v>62</v>
      </c>
      <c r="G4" s="32" t="s">
        <v>175</v>
      </c>
      <c r="H4" s="33" t="s">
        <v>173</v>
      </c>
      <c r="I4" s="6" t="s">
        <v>40</v>
      </c>
      <c r="J4" s="2"/>
    </row>
    <row r="5" spans="1:10" ht="69.95" customHeight="1" x14ac:dyDescent="0.25">
      <c r="A5" s="4" t="s">
        <v>63</v>
      </c>
      <c r="B5" s="2" t="s">
        <v>37</v>
      </c>
      <c r="C5" s="5" t="s">
        <v>64</v>
      </c>
      <c r="D5" s="13" t="s">
        <v>124</v>
      </c>
      <c r="E5" s="2" t="s">
        <v>65</v>
      </c>
      <c r="F5" s="2" t="s">
        <v>62</v>
      </c>
      <c r="G5" s="32" t="s">
        <v>175</v>
      </c>
      <c r="H5" s="33" t="s">
        <v>173</v>
      </c>
      <c r="I5" s="6" t="s">
        <v>40</v>
      </c>
      <c r="J5" s="2"/>
    </row>
    <row r="6" spans="1:10" ht="69.95" customHeight="1" x14ac:dyDescent="0.25">
      <c r="A6" s="4" t="s">
        <v>66</v>
      </c>
      <c r="B6" s="1" t="s">
        <v>37</v>
      </c>
      <c r="C6" s="7" t="s">
        <v>67</v>
      </c>
      <c r="D6" s="14" t="s">
        <v>124</v>
      </c>
      <c r="E6" s="1" t="s">
        <v>68</v>
      </c>
      <c r="F6" s="1" t="s">
        <v>62</v>
      </c>
      <c r="G6" s="32" t="s">
        <v>175</v>
      </c>
      <c r="H6" s="33" t="s">
        <v>173</v>
      </c>
      <c r="I6" s="6" t="s">
        <v>40</v>
      </c>
      <c r="J6" s="2"/>
    </row>
    <row r="7" spans="1:10" ht="69.95" customHeight="1" x14ac:dyDescent="0.25">
      <c r="A7" s="4" t="s">
        <v>69</v>
      </c>
      <c r="B7" s="2" t="s">
        <v>37</v>
      </c>
      <c r="C7" s="5" t="s">
        <v>70</v>
      </c>
      <c r="D7" s="13" t="s">
        <v>124</v>
      </c>
      <c r="E7" s="2" t="s">
        <v>71</v>
      </c>
      <c r="F7" s="2" t="s">
        <v>62</v>
      </c>
      <c r="G7" s="32" t="s">
        <v>176</v>
      </c>
      <c r="H7" s="33" t="s">
        <v>183</v>
      </c>
      <c r="I7" s="6" t="s">
        <v>40</v>
      </c>
      <c r="J7" s="13" t="s">
        <v>125</v>
      </c>
    </row>
    <row r="8" spans="1:10" ht="69.95" customHeight="1" x14ac:dyDescent="0.25">
      <c r="A8" s="4" t="s">
        <v>72</v>
      </c>
      <c r="B8" s="1" t="s">
        <v>37</v>
      </c>
      <c r="C8" s="7" t="s">
        <v>73</v>
      </c>
      <c r="D8" s="14" t="s">
        <v>124</v>
      </c>
      <c r="E8" s="1" t="s">
        <v>74</v>
      </c>
      <c r="F8" s="1" t="s">
        <v>62</v>
      </c>
      <c r="G8" s="32" t="s">
        <v>175</v>
      </c>
      <c r="H8" s="33" t="s">
        <v>173</v>
      </c>
      <c r="I8" s="6" t="s">
        <v>40</v>
      </c>
      <c r="J8" s="2"/>
    </row>
    <row r="9" spans="1:10" ht="69.95" customHeight="1" x14ac:dyDescent="0.25">
      <c r="A9" s="4" t="s">
        <v>75</v>
      </c>
      <c r="B9" s="2" t="s">
        <v>37</v>
      </c>
      <c r="C9" s="5" t="s">
        <v>76</v>
      </c>
      <c r="D9" s="2" t="s">
        <v>77</v>
      </c>
      <c r="E9" s="13" t="s">
        <v>78</v>
      </c>
      <c r="F9" s="2" t="s">
        <v>79</v>
      </c>
      <c r="G9" s="32" t="s">
        <v>177</v>
      </c>
      <c r="H9" s="33" t="s">
        <v>173</v>
      </c>
      <c r="I9" s="6" t="s">
        <v>40</v>
      </c>
      <c r="J9" s="2"/>
    </row>
    <row r="10" spans="1:10" ht="69.95" customHeight="1" x14ac:dyDescent="0.25">
      <c r="A10" s="4" t="s">
        <v>80</v>
      </c>
      <c r="B10" s="1" t="s">
        <v>42</v>
      </c>
      <c r="C10" s="7" t="s">
        <v>81</v>
      </c>
      <c r="D10" s="1" t="s">
        <v>82</v>
      </c>
      <c r="E10" s="1" t="s">
        <v>83</v>
      </c>
      <c r="F10" s="1" t="s">
        <v>84</v>
      </c>
      <c r="G10" s="34" t="s">
        <v>178</v>
      </c>
      <c r="H10" s="33" t="s">
        <v>173</v>
      </c>
      <c r="I10" s="6" t="s">
        <v>40</v>
      </c>
      <c r="J10" s="2"/>
    </row>
    <row r="11" spans="1:10" ht="69.95" customHeight="1" x14ac:dyDescent="0.25">
      <c r="A11" s="15" t="s">
        <v>85</v>
      </c>
      <c r="B11" s="2" t="s">
        <v>42</v>
      </c>
      <c r="C11" s="5" t="s">
        <v>88</v>
      </c>
      <c r="D11" s="2" t="s">
        <v>82</v>
      </c>
      <c r="E11" s="2" t="s">
        <v>89</v>
      </c>
      <c r="F11" s="2" t="s">
        <v>90</v>
      </c>
      <c r="G11" s="32" t="s">
        <v>179</v>
      </c>
      <c r="H11" s="33" t="s">
        <v>173</v>
      </c>
      <c r="I11" s="9" t="s">
        <v>91</v>
      </c>
      <c r="J11" s="2"/>
    </row>
    <row r="12" spans="1:10" ht="69.95" customHeight="1" x14ac:dyDescent="0.25">
      <c r="A12" s="15" t="s">
        <v>86</v>
      </c>
      <c r="B12" s="1" t="s">
        <v>42</v>
      </c>
      <c r="C12" s="7" t="s">
        <v>93</v>
      </c>
      <c r="D12" s="1" t="s">
        <v>82</v>
      </c>
      <c r="E12" s="14" t="s">
        <v>128</v>
      </c>
      <c r="F12" s="1" t="s">
        <v>94</v>
      </c>
      <c r="G12" s="34" t="s">
        <v>180</v>
      </c>
      <c r="H12" s="33" t="s">
        <v>173</v>
      </c>
      <c r="I12" s="8" t="s">
        <v>46</v>
      </c>
      <c r="J12" s="2"/>
    </row>
    <row r="13" spans="1:10" ht="69.95" customHeight="1" x14ac:dyDescent="0.25">
      <c r="A13" s="15" t="s">
        <v>87</v>
      </c>
      <c r="B13" s="2" t="s">
        <v>95</v>
      </c>
      <c r="C13" s="5" t="s">
        <v>126</v>
      </c>
      <c r="D13" s="2" t="s">
        <v>97</v>
      </c>
      <c r="E13" s="2" t="s">
        <v>127</v>
      </c>
      <c r="F13" s="2" t="s">
        <v>98</v>
      </c>
      <c r="G13" s="34" t="s">
        <v>181</v>
      </c>
      <c r="H13" s="33" t="s">
        <v>173</v>
      </c>
      <c r="I13" s="8" t="s">
        <v>46</v>
      </c>
      <c r="J13" s="2"/>
    </row>
    <row r="14" spans="1:10" ht="69.95" customHeight="1" x14ac:dyDescent="0.25">
      <c r="A14" s="4" t="s">
        <v>92</v>
      </c>
      <c r="B14" s="1" t="s">
        <v>99</v>
      </c>
      <c r="C14" s="7" t="s">
        <v>100</v>
      </c>
      <c r="D14" s="1" t="s">
        <v>82</v>
      </c>
      <c r="E14" s="1" t="s">
        <v>101</v>
      </c>
      <c r="F14" s="1" t="s">
        <v>102</v>
      </c>
      <c r="G14" s="32" t="s">
        <v>182</v>
      </c>
      <c r="H14" s="33" t="s">
        <v>173</v>
      </c>
      <c r="I14" s="8" t="s">
        <v>46</v>
      </c>
      <c r="J14" s="2"/>
    </row>
    <row r="15" spans="1:10" ht="69.95" customHeight="1" x14ac:dyDescent="0.25">
      <c r="A15" s="15" t="s">
        <v>145</v>
      </c>
      <c r="B15" s="2" t="s">
        <v>153</v>
      </c>
      <c r="C15" s="27" t="s">
        <v>154</v>
      </c>
      <c r="D15" s="13" t="s">
        <v>124</v>
      </c>
      <c r="E15" s="13" t="s">
        <v>162</v>
      </c>
      <c r="F15" s="13" t="s">
        <v>163</v>
      </c>
      <c r="G15" s="32" t="s">
        <v>175</v>
      </c>
      <c r="H15" s="33" t="s">
        <v>173</v>
      </c>
      <c r="I15" s="8" t="s">
        <v>46</v>
      </c>
      <c r="J15" s="2"/>
    </row>
    <row r="16" spans="1:10" ht="69.95" customHeight="1" x14ac:dyDescent="0.25">
      <c r="A16" s="15" t="s">
        <v>146</v>
      </c>
      <c r="B16" s="1" t="s">
        <v>153</v>
      </c>
      <c r="C16" s="26" t="s">
        <v>155</v>
      </c>
      <c r="D16" s="14" t="s">
        <v>124</v>
      </c>
      <c r="E16" s="14" t="s">
        <v>164</v>
      </c>
      <c r="F16" s="1" t="s">
        <v>62</v>
      </c>
      <c r="G16" s="32" t="s">
        <v>175</v>
      </c>
      <c r="H16" s="33" t="s">
        <v>173</v>
      </c>
      <c r="I16" s="8" t="s">
        <v>46</v>
      </c>
      <c r="J16" s="2"/>
    </row>
    <row r="17" spans="1:10" ht="69.95" customHeight="1" x14ac:dyDescent="0.25">
      <c r="A17" s="15" t="s">
        <v>147</v>
      </c>
      <c r="B17" s="2" t="s">
        <v>153</v>
      </c>
      <c r="C17" s="27" t="s">
        <v>156</v>
      </c>
      <c r="D17" s="13" t="s">
        <v>124</v>
      </c>
      <c r="E17" s="13" t="s">
        <v>165</v>
      </c>
      <c r="F17" s="2" t="s">
        <v>62</v>
      </c>
      <c r="G17" s="32" t="s">
        <v>175</v>
      </c>
      <c r="H17" s="33" t="s">
        <v>173</v>
      </c>
      <c r="I17" s="8" t="s">
        <v>46</v>
      </c>
      <c r="J17" s="2"/>
    </row>
    <row r="18" spans="1:10" ht="69.95" customHeight="1" x14ac:dyDescent="0.25">
      <c r="A18" s="15" t="s">
        <v>148</v>
      </c>
      <c r="B18" s="1" t="s">
        <v>153</v>
      </c>
      <c r="C18" s="26" t="s">
        <v>157</v>
      </c>
      <c r="D18" s="14" t="s">
        <v>124</v>
      </c>
      <c r="E18" s="14" t="s">
        <v>167</v>
      </c>
      <c r="F18" s="1" t="s">
        <v>62</v>
      </c>
      <c r="G18" s="32" t="s">
        <v>175</v>
      </c>
      <c r="H18" s="33" t="s">
        <v>173</v>
      </c>
      <c r="I18" s="9" t="s">
        <v>91</v>
      </c>
      <c r="J18" s="2"/>
    </row>
    <row r="19" spans="1:10" ht="69.95" customHeight="1" x14ac:dyDescent="0.25">
      <c r="A19" s="15" t="s">
        <v>149</v>
      </c>
      <c r="B19" s="2" t="s">
        <v>153</v>
      </c>
      <c r="C19" s="27" t="s">
        <v>158</v>
      </c>
      <c r="D19" s="13" t="s">
        <v>124</v>
      </c>
      <c r="E19" s="13" t="s">
        <v>166</v>
      </c>
      <c r="F19" s="2" t="s">
        <v>62</v>
      </c>
      <c r="G19" s="32" t="s">
        <v>175</v>
      </c>
      <c r="H19" s="33" t="s">
        <v>173</v>
      </c>
      <c r="I19" s="9" t="s">
        <v>91</v>
      </c>
      <c r="J19" s="2"/>
    </row>
    <row r="20" spans="1:10" ht="69.95" customHeight="1" x14ac:dyDescent="0.25">
      <c r="A20" s="15" t="s">
        <v>150</v>
      </c>
      <c r="B20" s="1" t="s">
        <v>153</v>
      </c>
      <c r="C20" s="26" t="s">
        <v>159</v>
      </c>
      <c r="D20" s="14" t="s">
        <v>124</v>
      </c>
      <c r="E20" s="14" t="s">
        <v>235</v>
      </c>
      <c r="F20" s="14" t="s">
        <v>62</v>
      </c>
      <c r="G20" s="32" t="s">
        <v>174</v>
      </c>
      <c r="H20" s="33" t="s">
        <v>183</v>
      </c>
      <c r="I20" s="6" t="s">
        <v>40</v>
      </c>
      <c r="J20" s="13" t="s">
        <v>233</v>
      </c>
    </row>
    <row r="21" spans="1:10" ht="69.95" customHeight="1" x14ac:dyDescent="0.25">
      <c r="A21" s="15" t="s">
        <v>151</v>
      </c>
      <c r="B21" s="2" t="s">
        <v>153</v>
      </c>
      <c r="C21" s="27" t="s">
        <v>160</v>
      </c>
      <c r="D21" s="13" t="s">
        <v>124</v>
      </c>
      <c r="E21" s="13" t="s">
        <v>236</v>
      </c>
      <c r="F21" s="13" t="s">
        <v>62</v>
      </c>
      <c r="G21" s="32" t="s">
        <v>174</v>
      </c>
      <c r="H21" s="33" t="s">
        <v>183</v>
      </c>
      <c r="I21" s="6" t="s">
        <v>40</v>
      </c>
      <c r="J21" s="13" t="s">
        <v>233</v>
      </c>
    </row>
    <row r="22" spans="1:10" ht="69.95" customHeight="1" x14ac:dyDescent="0.25">
      <c r="A22" s="15" t="s">
        <v>152</v>
      </c>
      <c r="B22" s="1" t="s">
        <v>153</v>
      </c>
      <c r="C22" s="26" t="s">
        <v>161</v>
      </c>
      <c r="D22" s="14" t="s">
        <v>82</v>
      </c>
      <c r="E22" s="14" t="s">
        <v>185</v>
      </c>
      <c r="F22" s="14" t="s">
        <v>186</v>
      </c>
      <c r="G22" s="32" t="s">
        <v>184</v>
      </c>
      <c r="H22" s="33" t="s">
        <v>183</v>
      </c>
      <c r="I22" s="6" t="s">
        <v>40</v>
      </c>
      <c r="J22" s="13" t="s">
        <v>240</v>
      </c>
    </row>
  </sheetData>
  <mergeCells count="1">
    <mergeCell ref="A1:J1"/>
  </mergeCells>
  <phoneticPr fontId="12" type="noConversion"/>
  <conditionalFormatting sqref="G3:G22">
    <cfRule type="containsText" dxfId="6" priority="3" operator="containsText" text="OK">
      <formula>NOT(ISERROR(SEARCH("OK",G3)))</formula>
    </cfRule>
  </conditionalFormatting>
  <conditionalFormatting sqref="H3:H22">
    <cfRule type="containsText" dxfId="5" priority="1" operator="containsText" text="NG">
      <formula>NOT(ISERROR(SEARCH("NG",H3)))</formula>
    </cfRule>
    <cfRule type="containsText" dxfId="4" priority="2" operator="containsText" text="OK">
      <formula>NOT(ISERROR(SEARCH("OK",H3)))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showGridLines="0" workbookViewId="0">
      <selection activeCell="G8" sqref="G8"/>
    </sheetView>
  </sheetViews>
  <sheetFormatPr defaultRowHeight="15" x14ac:dyDescent="0.25"/>
  <cols>
    <col min="1" max="1" width="9" customWidth="1"/>
    <col min="2" max="2" width="10" customWidth="1"/>
    <col min="3" max="3" width="38" customWidth="1"/>
    <col min="4" max="5" width="10" customWidth="1"/>
    <col min="6" max="6" width="18" customWidth="1"/>
    <col min="7" max="7" width="42" customWidth="1"/>
    <col min="8" max="9" width="34" customWidth="1"/>
    <col min="10" max="10" width="12" customWidth="1"/>
  </cols>
  <sheetData>
    <row r="1" spans="1:10" ht="36" customHeight="1" x14ac:dyDescent="0.25">
      <c r="A1" s="24" t="s">
        <v>103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5.5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35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54</v>
      </c>
    </row>
    <row r="3" spans="1:10" ht="72" customHeight="1" x14ac:dyDescent="0.25">
      <c r="A3" s="4" t="s">
        <v>112</v>
      </c>
      <c r="B3" s="10" t="s">
        <v>69</v>
      </c>
      <c r="C3" s="26" t="s">
        <v>140</v>
      </c>
      <c r="D3" s="40" t="s">
        <v>234</v>
      </c>
      <c r="E3" s="6" t="s">
        <v>40</v>
      </c>
      <c r="F3" s="1" t="s">
        <v>113</v>
      </c>
      <c r="G3" s="1" t="s">
        <v>141</v>
      </c>
      <c r="H3" s="1" t="s">
        <v>114</v>
      </c>
      <c r="I3" s="1" t="s">
        <v>142</v>
      </c>
      <c r="J3" s="6" t="s">
        <v>115</v>
      </c>
    </row>
    <row r="4" spans="1:10" ht="72" customHeight="1" x14ac:dyDescent="0.25">
      <c r="A4" s="15" t="s">
        <v>230</v>
      </c>
      <c r="B4" s="28" t="s">
        <v>231</v>
      </c>
      <c r="C4" s="26" t="s">
        <v>233</v>
      </c>
      <c r="D4" s="40" t="s">
        <v>234</v>
      </c>
      <c r="E4" s="6" t="s">
        <v>40</v>
      </c>
      <c r="F4" s="1" t="s">
        <v>113</v>
      </c>
      <c r="G4" s="14" t="s">
        <v>237</v>
      </c>
      <c r="H4" s="1" t="s">
        <v>114</v>
      </c>
      <c r="I4" s="14" t="s">
        <v>238</v>
      </c>
      <c r="J4" s="6" t="s">
        <v>115</v>
      </c>
    </row>
    <row r="5" spans="1:10" ht="72" customHeight="1" x14ac:dyDescent="0.25">
      <c r="A5" s="15" t="s">
        <v>232</v>
      </c>
      <c r="B5" s="28" t="s">
        <v>152</v>
      </c>
      <c r="C5" s="26" t="s">
        <v>240</v>
      </c>
      <c r="D5" s="40" t="s">
        <v>234</v>
      </c>
      <c r="E5" s="6" t="s">
        <v>40</v>
      </c>
      <c r="F5" s="1" t="s">
        <v>113</v>
      </c>
      <c r="G5" s="14" t="s">
        <v>239</v>
      </c>
      <c r="H5" s="14" t="s">
        <v>186</v>
      </c>
      <c r="I5" s="14" t="s">
        <v>241</v>
      </c>
      <c r="J5" s="6" t="s">
        <v>115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showGridLines="0" workbookViewId="0">
      <selection activeCell="J22" sqref="J22"/>
    </sheetView>
  </sheetViews>
  <sheetFormatPr defaultRowHeight="15" x14ac:dyDescent="0.25"/>
  <cols>
    <col min="1" max="1" width="7" customWidth="1"/>
    <col min="2" max="2" width="16" customWidth="1"/>
    <col min="3" max="3" width="9" customWidth="1"/>
    <col min="4" max="4" width="35" customWidth="1"/>
    <col min="5" max="6" width="16.28515625" customWidth="1"/>
    <col min="7" max="7" width="17.5703125" customWidth="1"/>
    <col min="8" max="8" width="23.85546875" customWidth="1"/>
    <col min="9" max="9" width="26" customWidth="1"/>
    <col min="10" max="10" width="23.85546875" customWidth="1"/>
    <col min="11" max="11" width="12" customWidth="1"/>
    <col min="12" max="12" width="30" customWidth="1"/>
  </cols>
  <sheetData>
    <row r="1" spans="1:12" ht="36" customHeight="1" x14ac:dyDescent="0.25">
      <c r="A1" s="24" t="s">
        <v>116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3" t="s">
        <v>117</v>
      </c>
      <c r="B2" s="3" t="s">
        <v>14</v>
      </c>
      <c r="C2" s="3" t="s">
        <v>48</v>
      </c>
      <c r="D2" s="3" t="s">
        <v>49</v>
      </c>
      <c r="E2" s="3" t="s">
        <v>54</v>
      </c>
      <c r="F2" s="37" t="s">
        <v>226</v>
      </c>
      <c r="G2" s="3" t="s">
        <v>118</v>
      </c>
      <c r="H2" s="3" t="s">
        <v>119</v>
      </c>
      <c r="I2" s="37" t="s">
        <v>246</v>
      </c>
      <c r="J2" s="37" t="s">
        <v>247</v>
      </c>
      <c r="K2" s="3" t="s">
        <v>23</v>
      </c>
      <c r="L2" s="3" t="s">
        <v>55</v>
      </c>
    </row>
    <row r="3" spans="1:12" ht="45" customHeight="1" x14ac:dyDescent="0.25">
      <c r="A3" s="12">
        <v>1</v>
      </c>
      <c r="B3" s="41">
        <v>46175</v>
      </c>
      <c r="C3" s="10" t="s">
        <v>56</v>
      </c>
      <c r="D3" s="1" t="s">
        <v>57</v>
      </c>
      <c r="E3" s="30" t="s">
        <v>169</v>
      </c>
      <c r="F3" s="35" t="s">
        <v>187</v>
      </c>
      <c r="G3" s="38">
        <f>(VALUE(MID(F3,1,2))*3600)+(VALUE(MID(F3,4,2))*60)+VALUE(MID(F3,7,2))+(VALUE(MID(F3,10,3))/1000)</f>
        <v>1.222</v>
      </c>
      <c r="H3" s="2" t="e" vm="1">
        <v>#VALUE!</v>
      </c>
      <c r="I3" s="42"/>
      <c r="J3" s="42"/>
      <c r="K3" s="11" t="s">
        <v>120</v>
      </c>
      <c r="L3" s="2"/>
    </row>
    <row r="4" spans="1:12" ht="45" customHeight="1" x14ac:dyDescent="0.25">
      <c r="A4" s="12">
        <v>2</v>
      </c>
      <c r="B4" s="41">
        <v>46175</v>
      </c>
      <c r="C4" s="10" t="s">
        <v>59</v>
      </c>
      <c r="D4" s="1" t="s">
        <v>60</v>
      </c>
      <c r="E4" s="30" t="s">
        <v>169</v>
      </c>
      <c r="F4" s="35" t="s">
        <v>188</v>
      </c>
      <c r="G4" s="38">
        <f t="shared" ref="G4:G42" si="0">(VALUE(MID(F4,1,2))*3600)+(VALUE(MID(F4,4,2))*60)+VALUE(MID(F4,7,2))+(VALUE(MID(F4,10,3))/1000)</f>
        <v>1.016</v>
      </c>
      <c r="H4" s="2" t="e" vm="2">
        <v>#VALUE!</v>
      </c>
      <c r="I4" s="42"/>
      <c r="J4" s="42"/>
      <c r="K4" s="11" t="s">
        <v>120</v>
      </c>
      <c r="L4" s="2"/>
    </row>
    <row r="5" spans="1:12" ht="45" customHeight="1" x14ac:dyDescent="0.25">
      <c r="A5" s="12">
        <v>3</v>
      </c>
      <c r="B5" s="41">
        <v>46175</v>
      </c>
      <c r="C5" s="10" t="s">
        <v>63</v>
      </c>
      <c r="D5" s="1" t="s">
        <v>64</v>
      </c>
      <c r="E5" s="30" t="s">
        <v>169</v>
      </c>
      <c r="F5" s="35" t="s">
        <v>189</v>
      </c>
      <c r="G5" s="38">
        <f t="shared" si="0"/>
        <v>0.996</v>
      </c>
      <c r="H5" s="2" t="e" vm="3">
        <v>#VALUE!</v>
      </c>
      <c r="I5" s="42"/>
      <c r="J5" s="42"/>
      <c r="K5" s="11" t="s">
        <v>120</v>
      </c>
      <c r="L5" s="2"/>
    </row>
    <row r="6" spans="1:12" ht="45" customHeight="1" x14ac:dyDescent="0.25">
      <c r="A6" s="12">
        <v>4</v>
      </c>
      <c r="B6" s="41">
        <v>46175</v>
      </c>
      <c r="C6" s="10" t="s">
        <v>66</v>
      </c>
      <c r="D6" s="1" t="s">
        <v>67</v>
      </c>
      <c r="E6" s="30" t="s">
        <v>169</v>
      </c>
      <c r="F6" s="35" t="s">
        <v>190</v>
      </c>
      <c r="G6" s="38">
        <f t="shared" si="0"/>
        <v>1.5190000000000001</v>
      </c>
      <c r="H6" s="2" t="e" vm="4">
        <v>#VALUE!</v>
      </c>
      <c r="I6" s="42"/>
      <c r="J6" s="42"/>
      <c r="K6" s="11" t="s">
        <v>120</v>
      </c>
      <c r="L6" s="2"/>
    </row>
    <row r="7" spans="1:12" ht="45" customHeight="1" x14ac:dyDescent="0.25">
      <c r="A7" s="12">
        <v>5</v>
      </c>
      <c r="B7" s="41">
        <v>46175</v>
      </c>
      <c r="C7" s="10" t="s">
        <v>69</v>
      </c>
      <c r="D7" s="1" t="s">
        <v>70</v>
      </c>
      <c r="E7" s="30" t="s">
        <v>170</v>
      </c>
      <c r="F7" s="35" t="s">
        <v>191</v>
      </c>
      <c r="G7" s="38">
        <f t="shared" si="0"/>
        <v>20.978999999999999</v>
      </c>
      <c r="H7" s="2" t="e" vm="5">
        <v>#VALUE!</v>
      </c>
      <c r="I7" s="42"/>
      <c r="J7" s="42"/>
      <c r="K7" s="11" t="s">
        <v>120</v>
      </c>
      <c r="L7" s="13" t="s">
        <v>229</v>
      </c>
    </row>
    <row r="8" spans="1:12" ht="45" customHeight="1" x14ac:dyDescent="0.25">
      <c r="A8" s="12">
        <v>6</v>
      </c>
      <c r="B8" s="41">
        <v>46175</v>
      </c>
      <c r="C8" s="10" t="s">
        <v>72</v>
      </c>
      <c r="D8" s="1" t="s">
        <v>73</v>
      </c>
      <c r="E8" s="30" t="s">
        <v>169</v>
      </c>
      <c r="F8" s="35" t="s">
        <v>192</v>
      </c>
      <c r="G8" s="38">
        <f t="shared" si="0"/>
        <v>1.286</v>
      </c>
      <c r="H8" s="2" t="e" vm="6">
        <v>#VALUE!</v>
      </c>
      <c r="I8" s="42"/>
      <c r="J8" s="42"/>
      <c r="K8" s="11" t="s">
        <v>120</v>
      </c>
      <c r="L8" s="2"/>
    </row>
    <row r="9" spans="1:12" ht="45" customHeight="1" x14ac:dyDescent="0.25">
      <c r="A9" s="12">
        <v>7</v>
      </c>
      <c r="B9" s="41">
        <v>46175</v>
      </c>
      <c r="C9" s="10" t="s">
        <v>75</v>
      </c>
      <c r="D9" s="1" t="s">
        <v>76</v>
      </c>
      <c r="E9" s="30" t="s">
        <v>169</v>
      </c>
      <c r="F9" s="35" t="s">
        <v>193</v>
      </c>
      <c r="G9" s="38">
        <f t="shared" si="0"/>
        <v>1.526</v>
      </c>
      <c r="H9" s="2" t="e" vm="7">
        <v>#VALUE!</v>
      </c>
      <c r="I9" s="42"/>
      <c r="J9" s="42"/>
      <c r="K9" s="11" t="s">
        <v>120</v>
      </c>
      <c r="L9" s="2"/>
    </row>
    <row r="10" spans="1:12" ht="45" customHeight="1" x14ac:dyDescent="0.25">
      <c r="A10" s="12">
        <v>8</v>
      </c>
      <c r="B10" s="41">
        <v>46175</v>
      </c>
      <c r="C10" s="10" t="s">
        <v>80</v>
      </c>
      <c r="D10" s="1" t="s">
        <v>81</v>
      </c>
      <c r="E10" s="30" t="s">
        <v>169</v>
      </c>
      <c r="F10" s="35" t="s">
        <v>194</v>
      </c>
      <c r="G10" s="38">
        <f t="shared" si="0"/>
        <v>0.85399999999999998</v>
      </c>
      <c r="H10" s="2" t="e" vm="1">
        <v>#VALUE!</v>
      </c>
      <c r="I10" s="42"/>
      <c r="J10" s="42"/>
      <c r="K10" s="11" t="s">
        <v>120</v>
      </c>
      <c r="L10" s="2"/>
    </row>
    <row r="11" spans="1:12" ht="45" customHeight="1" x14ac:dyDescent="0.25">
      <c r="A11" s="12">
        <v>9</v>
      </c>
      <c r="B11" s="41">
        <v>46175</v>
      </c>
      <c r="C11" s="10" t="s">
        <v>85</v>
      </c>
      <c r="D11" s="1" t="s">
        <v>88</v>
      </c>
      <c r="E11" s="30" t="s">
        <v>169</v>
      </c>
      <c r="F11" s="35" t="s">
        <v>195</v>
      </c>
      <c r="G11" s="38">
        <f t="shared" si="0"/>
        <v>1.657</v>
      </c>
      <c r="H11" s="2" t="e" vm="7">
        <v>#VALUE!</v>
      </c>
      <c r="I11" s="42"/>
      <c r="J11" s="42"/>
      <c r="K11" s="11" t="s">
        <v>120</v>
      </c>
      <c r="L11" s="2"/>
    </row>
    <row r="12" spans="1:12" ht="45" customHeight="1" x14ac:dyDescent="0.25">
      <c r="A12" s="12">
        <v>10</v>
      </c>
      <c r="B12" s="41">
        <v>46175</v>
      </c>
      <c r="C12" s="10" t="s">
        <v>86</v>
      </c>
      <c r="D12" s="1" t="s">
        <v>93</v>
      </c>
      <c r="E12" s="30" t="s">
        <v>169</v>
      </c>
      <c r="F12" s="35" t="s">
        <v>196</v>
      </c>
      <c r="G12" s="38">
        <f t="shared" si="0"/>
        <v>1.206</v>
      </c>
      <c r="H12" s="13" t="s">
        <v>245</v>
      </c>
      <c r="I12" s="43"/>
      <c r="J12" s="43"/>
      <c r="K12" s="11" t="s">
        <v>120</v>
      </c>
      <c r="L12" s="2"/>
    </row>
    <row r="13" spans="1:12" ht="45" customHeight="1" x14ac:dyDescent="0.25">
      <c r="A13" s="12">
        <v>11</v>
      </c>
      <c r="B13" s="41">
        <v>46175</v>
      </c>
      <c r="C13" s="10" t="s">
        <v>87</v>
      </c>
      <c r="D13" s="1" t="s">
        <v>96</v>
      </c>
      <c r="E13" s="30" t="s">
        <v>169</v>
      </c>
      <c r="F13" s="35" t="s">
        <v>197</v>
      </c>
      <c r="G13" s="38">
        <f t="shared" si="0"/>
        <v>1.0820000000000001</v>
      </c>
      <c r="H13" s="2" t="e" vm="6">
        <v>#VALUE!</v>
      </c>
      <c r="I13" s="42"/>
      <c r="J13" s="42"/>
      <c r="K13" s="11" t="s">
        <v>120</v>
      </c>
      <c r="L13" s="2"/>
    </row>
    <row r="14" spans="1:12" ht="45" customHeight="1" x14ac:dyDescent="0.25">
      <c r="A14" s="12">
        <v>12</v>
      </c>
      <c r="B14" s="41">
        <v>46175</v>
      </c>
      <c r="C14" s="10" t="s">
        <v>92</v>
      </c>
      <c r="D14" s="1" t="s">
        <v>100</v>
      </c>
      <c r="E14" s="30" t="s">
        <v>169</v>
      </c>
      <c r="F14" s="35" t="s">
        <v>198</v>
      </c>
      <c r="G14" s="38">
        <f t="shared" si="0"/>
        <v>0.43</v>
      </c>
      <c r="H14" s="2" t="e" vm="8">
        <v>#VALUE!</v>
      </c>
      <c r="I14" s="42"/>
      <c r="J14" s="42"/>
      <c r="K14" s="11" t="s">
        <v>120</v>
      </c>
      <c r="L14" s="2"/>
    </row>
    <row r="15" spans="1:12" ht="45" customHeight="1" x14ac:dyDescent="0.25">
      <c r="A15" s="12">
        <v>13</v>
      </c>
      <c r="B15" s="41">
        <v>46175</v>
      </c>
      <c r="C15" s="28" t="s">
        <v>145</v>
      </c>
      <c r="D15" s="14" t="s">
        <v>154</v>
      </c>
      <c r="E15" s="30" t="s">
        <v>169</v>
      </c>
      <c r="F15" s="35" t="s">
        <v>199</v>
      </c>
      <c r="G15" s="38">
        <f t="shared" si="0"/>
        <v>21.036000000000001</v>
      </c>
      <c r="H15" s="2" t="e" vm="9">
        <v>#VALUE!</v>
      </c>
      <c r="I15" s="42"/>
      <c r="J15" s="42"/>
      <c r="K15" s="11" t="s">
        <v>120</v>
      </c>
      <c r="L15" s="2"/>
    </row>
    <row r="16" spans="1:12" ht="45" customHeight="1" x14ac:dyDescent="0.25">
      <c r="A16" s="12">
        <v>14</v>
      </c>
      <c r="B16" s="41">
        <v>46175</v>
      </c>
      <c r="C16" s="28" t="s">
        <v>146</v>
      </c>
      <c r="D16" s="14" t="s">
        <v>155</v>
      </c>
      <c r="E16" s="30" t="s">
        <v>169</v>
      </c>
      <c r="F16" s="35" t="s">
        <v>200</v>
      </c>
      <c r="G16" s="38">
        <f t="shared" si="0"/>
        <v>20.988</v>
      </c>
      <c r="H16" s="2" t="e" vm="2">
        <v>#VALUE!</v>
      </c>
      <c r="I16" s="42"/>
      <c r="J16" s="42"/>
      <c r="K16" s="11" t="s">
        <v>120</v>
      </c>
      <c r="L16" s="2"/>
    </row>
    <row r="17" spans="1:12" ht="45" customHeight="1" x14ac:dyDescent="0.25">
      <c r="A17" s="12">
        <v>15</v>
      </c>
      <c r="B17" s="41">
        <v>46175</v>
      </c>
      <c r="C17" s="28" t="s">
        <v>147</v>
      </c>
      <c r="D17" s="14" t="s">
        <v>156</v>
      </c>
      <c r="E17" s="30" t="s">
        <v>169</v>
      </c>
      <c r="F17" s="35" t="s">
        <v>201</v>
      </c>
      <c r="G17" s="38">
        <f t="shared" si="0"/>
        <v>20.997</v>
      </c>
      <c r="H17" s="2" t="e" vm="10">
        <v>#VALUE!</v>
      </c>
      <c r="I17" s="42"/>
      <c r="J17" s="42"/>
      <c r="K17" s="11" t="s">
        <v>120</v>
      </c>
      <c r="L17" s="2"/>
    </row>
    <row r="18" spans="1:12" ht="45" customHeight="1" x14ac:dyDescent="0.25">
      <c r="A18" s="12">
        <v>16</v>
      </c>
      <c r="B18" s="41">
        <v>46175</v>
      </c>
      <c r="C18" s="28" t="s">
        <v>148</v>
      </c>
      <c r="D18" s="14" t="s">
        <v>157</v>
      </c>
      <c r="E18" s="30" t="s">
        <v>169</v>
      </c>
      <c r="F18" s="35" t="s">
        <v>202</v>
      </c>
      <c r="G18" s="38">
        <f t="shared" si="0"/>
        <v>21.541</v>
      </c>
      <c r="H18" s="2" t="e" vm="11">
        <v>#VALUE!</v>
      </c>
      <c r="I18" s="42"/>
      <c r="J18" s="42"/>
      <c r="K18" s="11" t="s">
        <v>120</v>
      </c>
      <c r="L18" s="2"/>
    </row>
    <row r="19" spans="1:12" ht="45" customHeight="1" x14ac:dyDescent="0.25">
      <c r="A19" s="12">
        <v>17</v>
      </c>
      <c r="B19" s="41">
        <v>46175</v>
      </c>
      <c r="C19" s="28" t="s">
        <v>149</v>
      </c>
      <c r="D19" s="14" t="s">
        <v>158</v>
      </c>
      <c r="E19" s="30" t="s">
        <v>169</v>
      </c>
      <c r="F19" s="35" t="s">
        <v>203</v>
      </c>
      <c r="G19" s="38">
        <f t="shared" si="0"/>
        <v>21.54</v>
      </c>
      <c r="H19" s="2" t="e" vm="2">
        <v>#VALUE!</v>
      </c>
      <c r="I19" s="42"/>
      <c r="J19" s="42"/>
      <c r="K19" s="11" t="s">
        <v>120</v>
      </c>
      <c r="L19" s="2"/>
    </row>
    <row r="20" spans="1:12" ht="45" customHeight="1" x14ac:dyDescent="0.25">
      <c r="A20" s="12">
        <v>18</v>
      </c>
      <c r="B20" s="41">
        <v>46175</v>
      </c>
      <c r="C20" s="28" t="s">
        <v>150</v>
      </c>
      <c r="D20" s="14" t="s">
        <v>159</v>
      </c>
      <c r="E20" s="30" t="s">
        <v>170</v>
      </c>
      <c r="F20" s="35" t="s">
        <v>204</v>
      </c>
      <c r="G20" s="38">
        <f t="shared" si="0"/>
        <v>21.029</v>
      </c>
      <c r="H20" s="2" t="e" vm="1">
        <v>#VALUE!</v>
      </c>
      <c r="I20" s="42"/>
      <c r="J20" s="42"/>
      <c r="K20" s="11" t="s">
        <v>120</v>
      </c>
      <c r="L20" s="13" t="s">
        <v>233</v>
      </c>
    </row>
    <row r="21" spans="1:12" ht="45" customHeight="1" x14ac:dyDescent="0.25">
      <c r="A21" s="12">
        <v>19</v>
      </c>
      <c r="B21" s="41">
        <v>46175</v>
      </c>
      <c r="C21" s="28" t="s">
        <v>151</v>
      </c>
      <c r="D21" s="14" t="s">
        <v>160</v>
      </c>
      <c r="E21" s="30" t="s">
        <v>170</v>
      </c>
      <c r="F21" s="35" t="s">
        <v>205</v>
      </c>
      <c r="G21" s="38">
        <f t="shared" si="0"/>
        <v>62.811999999999998</v>
      </c>
      <c r="H21" s="2" t="e" vm="12">
        <v>#VALUE!</v>
      </c>
      <c r="I21" s="2" t="e" vm="13">
        <v>#VALUE!</v>
      </c>
      <c r="J21" s="2" t="e" vm="14">
        <v>#VALUE!</v>
      </c>
      <c r="K21" s="11" t="s">
        <v>120</v>
      </c>
      <c r="L21" s="13" t="s">
        <v>233</v>
      </c>
    </row>
    <row r="22" spans="1:12" ht="45" customHeight="1" x14ac:dyDescent="0.25">
      <c r="A22" s="12">
        <v>20</v>
      </c>
      <c r="B22" s="41">
        <v>46175</v>
      </c>
      <c r="C22" s="28" t="s">
        <v>152</v>
      </c>
      <c r="D22" s="14" t="s">
        <v>161</v>
      </c>
      <c r="E22" s="30" t="s">
        <v>170</v>
      </c>
      <c r="F22" s="35" t="s">
        <v>206</v>
      </c>
      <c r="G22" s="38">
        <f t="shared" si="0"/>
        <v>1.593</v>
      </c>
      <c r="H22" s="2" t="e" vm="15">
        <v>#VALUE!</v>
      </c>
      <c r="I22" s="42"/>
      <c r="J22" s="42"/>
      <c r="K22" s="11" t="s">
        <v>120</v>
      </c>
      <c r="L22" s="13" t="s">
        <v>240</v>
      </c>
    </row>
    <row r="23" spans="1:12" ht="45" customHeight="1" x14ac:dyDescent="0.25">
      <c r="A23" s="12">
        <v>21</v>
      </c>
      <c r="B23" s="41">
        <v>46175</v>
      </c>
      <c r="C23" s="10" t="s">
        <v>56</v>
      </c>
      <c r="D23" s="1" t="s">
        <v>57</v>
      </c>
      <c r="E23" s="30" t="s">
        <v>169</v>
      </c>
      <c r="F23" s="35" t="s">
        <v>207</v>
      </c>
      <c r="G23" s="38">
        <f t="shared" si="0"/>
        <v>0.63500000000000001</v>
      </c>
      <c r="H23" s="2" t="e" vm="16">
        <v>#VALUE!</v>
      </c>
      <c r="I23" s="42"/>
      <c r="J23" s="42"/>
      <c r="K23" s="29" t="s">
        <v>168</v>
      </c>
      <c r="L23" s="2"/>
    </row>
    <row r="24" spans="1:12" ht="45" customHeight="1" x14ac:dyDescent="0.25">
      <c r="A24" s="12">
        <v>22</v>
      </c>
      <c r="B24" s="41">
        <v>46175</v>
      </c>
      <c r="C24" s="10" t="s">
        <v>59</v>
      </c>
      <c r="D24" s="1" t="s">
        <v>60</v>
      </c>
      <c r="E24" s="30" t="s">
        <v>169</v>
      </c>
      <c r="F24" s="35" t="s">
        <v>208</v>
      </c>
      <c r="G24" s="38">
        <f t="shared" si="0"/>
        <v>1.248</v>
      </c>
      <c r="H24" s="2" t="e" vm="17">
        <v>#VALUE!</v>
      </c>
      <c r="I24" s="42"/>
      <c r="J24" s="42"/>
      <c r="K24" s="29" t="s">
        <v>168</v>
      </c>
      <c r="L24" s="2"/>
    </row>
    <row r="25" spans="1:12" ht="45" customHeight="1" x14ac:dyDescent="0.25">
      <c r="A25" s="12">
        <v>23</v>
      </c>
      <c r="B25" s="41">
        <v>46175</v>
      </c>
      <c r="C25" s="10" t="s">
        <v>63</v>
      </c>
      <c r="D25" s="1" t="s">
        <v>64</v>
      </c>
      <c r="E25" s="30" t="s">
        <v>169</v>
      </c>
      <c r="F25" s="35" t="s">
        <v>209</v>
      </c>
      <c r="G25" s="38">
        <f t="shared" si="0"/>
        <v>1.1990000000000001</v>
      </c>
      <c r="H25" s="2" t="e" vm="18">
        <v>#VALUE!</v>
      </c>
      <c r="I25" s="42"/>
      <c r="J25" s="42"/>
      <c r="K25" s="29" t="s">
        <v>168</v>
      </c>
      <c r="L25" s="2"/>
    </row>
    <row r="26" spans="1:12" ht="45" customHeight="1" x14ac:dyDescent="0.25">
      <c r="A26" s="12">
        <v>24</v>
      </c>
      <c r="B26" s="41">
        <v>46175</v>
      </c>
      <c r="C26" s="10" t="s">
        <v>66</v>
      </c>
      <c r="D26" s="1" t="s">
        <v>67</v>
      </c>
      <c r="E26" s="30" t="s">
        <v>169</v>
      </c>
      <c r="F26" s="36" t="s">
        <v>210</v>
      </c>
      <c r="G26" s="38">
        <f t="shared" si="0"/>
        <v>1.151</v>
      </c>
      <c r="H26" s="2" t="e" vm="19">
        <v>#VALUE!</v>
      </c>
      <c r="I26" s="42"/>
      <c r="J26" s="42"/>
      <c r="K26" s="29" t="s">
        <v>168</v>
      </c>
      <c r="L26" s="2"/>
    </row>
    <row r="27" spans="1:12" ht="45" customHeight="1" x14ac:dyDescent="0.25">
      <c r="A27" s="12">
        <v>25</v>
      </c>
      <c r="B27" s="41">
        <v>46175</v>
      </c>
      <c r="C27" s="10" t="s">
        <v>69</v>
      </c>
      <c r="D27" s="1" t="s">
        <v>70</v>
      </c>
      <c r="E27" s="30" t="s">
        <v>169</v>
      </c>
      <c r="F27" s="35" t="s">
        <v>211</v>
      </c>
      <c r="G27" s="38">
        <f t="shared" si="0"/>
        <v>21.033000000000001</v>
      </c>
      <c r="H27" s="2" t="e" vm="20">
        <v>#VALUE!</v>
      </c>
      <c r="I27" s="42"/>
      <c r="J27" s="42"/>
      <c r="K27" s="29" t="s">
        <v>168</v>
      </c>
      <c r="L27" s="2"/>
    </row>
    <row r="28" spans="1:12" ht="45" customHeight="1" x14ac:dyDescent="0.25">
      <c r="A28" s="12">
        <v>26</v>
      </c>
      <c r="B28" s="41">
        <v>46175</v>
      </c>
      <c r="C28" s="10" t="s">
        <v>72</v>
      </c>
      <c r="D28" s="1" t="s">
        <v>73</v>
      </c>
      <c r="E28" s="30" t="s">
        <v>169</v>
      </c>
      <c r="F28" s="35" t="s">
        <v>212</v>
      </c>
      <c r="G28" s="38">
        <f t="shared" si="0"/>
        <v>0.96699999999999997</v>
      </c>
      <c r="H28" s="2" t="e" vm="21">
        <v>#VALUE!</v>
      </c>
      <c r="I28" s="42"/>
      <c r="J28" s="42"/>
      <c r="K28" s="29" t="s">
        <v>168</v>
      </c>
      <c r="L28" s="2"/>
    </row>
    <row r="29" spans="1:12" ht="45" customHeight="1" x14ac:dyDescent="0.25">
      <c r="A29" s="12">
        <v>27</v>
      </c>
      <c r="B29" s="41">
        <v>46175</v>
      </c>
      <c r="C29" s="10" t="s">
        <v>75</v>
      </c>
      <c r="D29" s="1" t="s">
        <v>76</v>
      </c>
      <c r="E29" s="30" t="s">
        <v>169</v>
      </c>
      <c r="F29" s="35" t="s">
        <v>213</v>
      </c>
      <c r="G29" s="38">
        <f t="shared" si="0"/>
        <v>1.125</v>
      </c>
      <c r="H29" s="2" t="e" vm="22">
        <v>#VALUE!</v>
      </c>
      <c r="I29" s="42"/>
      <c r="J29" s="42"/>
      <c r="K29" s="29" t="s">
        <v>168</v>
      </c>
      <c r="L29" s="2"/>
    </row>
    <row r="30" spans="1:12" ht="45" customHeight="1" x14ac:dyDescent="0.25">
      <c r="A30" s="12">
        <v>28</v>
      </c>
      <c r="B30" s="41">
        <v>46175</v>
      </c>
      <c r="C30" s="10" t="s">
        <v>80</v>
      </c>
      <c r="D30" s="1" t="s">
        <v>81</v>
      </c>
      <c r="E30" s="30" t="s">
        <v>169</v>
      </c>
      <c r="F30" s="35" t="s">
        <v>214</v>
      </c>
      <c r="G30" s="38">
        <f t="shared" si="0"/>
        <v>0.85099999999999998</v>
      </c>
      <c r="H30" s="2" t="e" vm="16">
        <v>#VALUE!</v>
      </c>
      <c r="I30" s="42"/>
      <c r="J30" s="42"/>
      <c r="K30" s="29" t="s">
        <v>168</v>
      </c>
      <c r="L30" s="2"/>
    </row>
    <row r="31" spans="1:12" ht="45" customHeight="1" x14ac:dyDescent="0.25">
      <c r="A31" s="12">
        <v>29</v>
      </c>
      <c r="B31" s="41">
        <v>46175</v>
      </c>
      <c r="C31" s="10" t="s">
        <v>85</v>
      </c>
      <c r="D31" s="1" t="s">
        <v>88</v>
      </c>
      <c r="E31" s="30" t="s">
        <v>169</v>
      </c>
      <c r="F31" s="35" t="s">
        <v>215</v>
      </c>
      <c r="G31" s="38">
        <f t="shared" si="0"/>
        <v>1.54</v>
      </c>
      <c r="H31" s="2" t="e" vm="22">
        <v>#VALUE!</v>
      </c>
      <c r="I31" s="42"/>
      <c r="J31" s="42"/>
      <c r="K31" s="29" t="s">
        <v>168</v>
      </c>
      <c r="L31" s="2"/>
    </row>
    <row r="32" spans="1:12" ht="45" customHeight="1" x14ac:dyDescent="0.25">
      <c r="A32" s="12">
        <v>30</v>
      </c>
      <c r="B32" s="41">
        <v>46175</v>
      </c>
      <c r="C32" s="10" t="s">
        <v>86</v>
      </c>
      <c r="D32" s="1" t="s">
        <v>93</v>
      </c>
      <c r="E32" s="30" t="s">
        <v>169</v>
      </c>
      <c r="F32" s="35" t="s">
        <v>216</v>
      </c>
      <c r="G32" s="38">
        <f t="shared" si="0"/>
        <v>0.91800000000000004</v>
      </c>
      <c r="H32" s="13" t="s">
        <v>245</v>
      </c>
      <c r="I32" s="42"/>
      <c r="J32" s="42"/>
      <c r="K32" s="29" t="s">
        <v>168</v>
      </c>
      <c r="L32" s="2"/>
    </row>
    <row r="33" spans="1:12" ht="45" customHeight="1" x14ac:dyDescent="0.25">
      <c r="A33" s="12">
        <v>31</v>
      </c>
      <c r="B33" s="41">
        <v>46175</v>
      </c>
      <c r="C33" s="10" t="s">
        <v>87</v>
      </c>
      <c r="D33" s="1" t="s">
        <v>96</v>
      </c>
      <c r="E33" s="30" t="s">
        <v>169</v>
      </c>
      <c r="F33" s="35" t="s">
        <v>217</v>
      </c>
      <c r="G33" s="38">
        <f t="shared" si="0"/>
        <v>1.294</v>
      </c>
      <c r="H33" s="2" t="e" vm="21">
        <v>#VALUE!</v>
      </c>
      <c r="I33" s="42"/>
      <c r="J33" s="42"/>
      <c r="K33" s="29" t="s">
        <v>168</v>
      </c>
      <c r="L33" s="2"/>
    </row>
    <row r="34" spans="1:12" ht="45" customHeight="1" x14ac:dyDescent="0.25">
      <c r="A34" s="12">
        <v>32</v>
      </c>
      <c r="B34" s="41">
        <v>46175</v>
      </c>
      <c r="C34" s="10" t="s">
        <v>92</v>
      </c>
      <c r="D34" s="1" t="s">
        <v>100</v>
      </c>
      <c r="E34" s="30" t="s">
        <v>169</v>
      </c>
      <c r="F34" s="35" t="s">
        <v>218</v>
      </c>
      <c r="G34" s="38">
        <f t="shared" si="0"/>
        <v>0.53700000000000003</v>
      </c>
      <c r="H34" s="2" t="e" vm="23">
        <v>#VALUE!</v>
      </c>
      <c r="I34" s="42"/>
      <c r="J34" s="42"/>
      <c r="K34" s="29" t="s">
        <v>168</v>
      </c>
      <c r="L34" s="2"/>
    </row>
    <row r="35" spans="1:12" ht="45" customHeight="1" x14ac:dyDescent="0.25">
      <c r="A35" s="12">
        <v>33</v>
      </c>
      <c r="B35" s="41">
        <v>46175</v>
      </c>
      <c r="C35" s="28" t="s">
        <v>145</v>
      </c>
      <c r="D35" s="14" t="s">
        <v>154</v>
      </c>
      <c r="E35" s="30" t="s">
        <v>169</v>
      </c>
      <c r="F35" s="35" t="s">
        <v>219</v>
      </c>
      <c r="G35" s="38">
        <f t="shared" si="0"/>
        <v>21.24</v>
      </c>
      <c r="H35" s="2" t="e" vm="24">
        <v>#VALUE!</v>
      </c>
      <c r="I35" s="42"/>
      <c r="J35" s="42"/>
      <c r="K35" s="29" t="s">
        <v>168</v>
      </c>
      <c r="L35" s="2"/>
    </row>
    <row r="36" spans="1:12" ht="45" customHeight="1" x14ac:dyDescent="0.25">
      <c r="A36" s="12">
        <v>34</v>
      </c>
      <c r="B36" s="41">
        <v>46175</v>
      </c>
      <c r="C36" s="28" t="s">
        <v>146</v>
      </c>
      <c r="D36" s="14" t="s">
        <v>155</v>
      </c>
      <c r="E36" s="30" t="s">
        <v>169</v>
      </c>
      <c r="F36" s="35" t="s">
        <v>204</v>
      </c>
      <c r="G36" s="38">
        <f t="shared" si="0"/>
        <v>21.029</v>
      </c>
      <c r="H36" s="2" t="e" vm="17">
        <v>#VALUE!</v>
      </c>
      <c r="I36" s="42"/>
      <c r="J36" s="42"/>
      <c r="K36" s="29" t="s">
        <v>168</v>
      </c>
      <c r="L36" s="2"/>
    </row>
    <row r="37" spans="1:12" ht="45" customHeight="1" x14ac:dyDescent="0.25">
      <c r="A37" s="12">
        <v>35</v>
      </c>
      <c r="B37" s="41">
        <v>46175</v>
      </c>
      <c r="C37" s="28" t="s">
        <v>147</v>
      </c>
      <c r="D37" s="14" t="s">
        <v>156</v>
      </c>
      <c r="E37" s="30" t="s">
        <v>169</v>
      </c>
      <c r="F37" s="36" t="s">
        <v>220</v>
      </c>
      <c r="G37" s="38">
        <f t="shared" si="0"/>
        <v>21.015000000000001</v>
      </c>
      <c r="H37" s="2" t="e" vm="25">
        <v>#VALUE!</v>
      </c>
      <c r="I37" s="42"/>
      <c r="J37" s="42"/>
      <c r="K37" s="29" t="s">
        <v>168</v>
      </c>
      <c r="L37" s="2"/>
    </row>
    <row r="38" spans="1:12" ht="45" customHeight="1" x14ac:dyDescent="0.25">
      <c r="A38" s="12">
        <v>36</v>
      </c>
      <c r="B38" s="41">
        <v>46175</v>
      </c>
      <c r="C38" s="28" t="s">
        <v>148</v>
      </c>
      <c r="D38" s="14" t="s">
        <v>157</v>
      </c>
      <c r="E38" s="30" t="s">
        <v>169</v>
      </c>
      <c r="F38" s="35" t="s">
        <v>221</v>
      </c>
      <c r="G38" s="38">
        <f t="shared" si="0"/>
        <v>21.28</v>
      </c>
      <c r="H38" s="2" t="e" vm="26">
        <v>#VALUE!</v>
      </c>
      <c r="I38" s="42"/>
      <c r="J38" s="42"/>
      <c r="K38" s="29" t="s">
        <v>168</v>
      </c>
      <c r="L38" s="2"/>
    </row>
    <row r="39" spans="1:12" ht="45" customHeight="1" x14ac:dyDescent="0.25">
      <c r="A39" s="12">
        <v>37</v>
      </c>
      <c r="B39" s="41">
        <v>46175</v>
      </c>
      <c r="C39" s="28" t="s">
        <v>149</v>
      </c>
      <c r="D39" s="14" t="s">
        <v>158</v>
      </c>
      <c r="E39" s="30" t="s">
        <v>169</v>
      </c>
      <c r="F39" s="35" t="s">
        <v>222</v>
      </c>
      <c r="G39" s="38">
        <f t="shared" si="0"/>
        <v>21.326000000000001</v>
      </c>
      <c r="H39" s="2" t="e" vm="17">
        <v>#VALUE!</v>
      </c>
      <c r="I39" s="42"/>
      <c r="J39" s="42"/>
      <c r="K39" s="29" t="s">
        <v>168</v>
      </c>
      <c r="L39" s="2"/>
    </row>
    <row r="40" spans="1:12" ht="45" customHeight="1" x14ac:dyDescent="0.25">
      <c r="A40" s="12">
        <v>38</v>
      </c>
      <c r="B40" s="41">
        <v>46175</v>
      </c>
      <c r="C40" s="28" t="s">
        <v>150</v>
      </c>
      <c r="D40" s="14" t="s">
        <v>159</v>
      </c>
      <c r="E40" s="30" t="s">
        <v>169</v>
      </c>
      <c r="F40" s="35" t="s">
        <v>223</v>
      </c>
      <c r="G40" s="38">
        <f t="shared" si="0"/>
        <v>20.838000000000001</v>
      </c>
      <c r="H40" s="2" t="e" vm="16">
        <v>#VALUE!</v>
      </c>
      <c r="I40" s="42"/>
      <c r="J40" s="42"/>
      <c r="K40" s="29" t="s">
        <v>168</v>
      </c>
      <c r="L40" s="2"/>
    </row>
    <row r="41" spans="1:12" ht="45" customHeight="1" x14ac:dyDescent="0.25">
      <c r="A41" s="12">
        <v>39</v>
      </c>
      <c r="B41" s="41">
        <v>46175</v>
      </c>
      <c r="C41" s="28" t="s">
        <v>151</v>
      </c>
      <c r="D41" s="14" t="s">
        <v>160</v>
      </c>
      <c r="E41" s="30" t="s">
        <v>169</v>
      </c>
      <c r="F41" s="35" t="s">
        <v>224</v>
      </c>
      <c r="G41" s="38">
        <f t="shared" si="0"/>
        <v>62.460999999999999</v>
      </c>
      <c r="H41" s="2" t="e" vm="27">
        <v>#VALUE!</v>
      </c>
      <c r="I41" s="44" t="e" vm="28">
        <v>#VALUE!</v>
      </c>
      <c r="J41" s="44" t="e" vm="29">
        <v>#VALUE!</v>
      </c>
      <c r="K41" s="29" t="s">
        <v>168</v>
      </c>
      <c r="L41" s="2"/>
    </row>
    <row r="42" spans="1:12" ht="45" customHeight="1" x14ac:dyDescent="0.25">
      <c r="A42" s="12">
        <v>40</v>
      </c>
      <c r="B42" s="41">
        <v>46175</v>
      </c>
      <c r="C42" s="28" t="s">
        <v>152</v>
      </c>
      <c r="D42" s="14" t="s">
        <v>161</v>
      </c>
      <c r="E42" s="30" t="s">
        <v>169</v>
      </c>
      <c r="F42" s="35" t="s">
        <v>225</v>
      </c>
      <c r="G42" s="38">
        <f t="shared" si="0"/>
        <v>1.425</v>
      </c>
      <c r="H42" s="2" t="e" vm="16">
        <v>#VALUE!</v>
      </c>
      <c r="I42" s="42"/>
      <c r="J42" s="42"/>
      <c r="K42" s="29" t="s">
        <v>168</v>
      </c>
      <c r="L42" s="2"/>
    </row>
    <row r="43" spans="1:12" ht="25.5" x14ac:dyDescent="0.25">
      <c r="A43" s="25" t="s">
        <v>121</v>
      </c>
      <c r="B43" s="17"/>
      <c r="C43" s="17"/>
      <c r="D43" s="17"/>
      <c r="E43" s="4" t="str">
        <f>COUNTIF(E3:E42,"PASS")&amp;" PASS / "&amp;COUNTIF(E3:E42,"FAIL")&amp;" FAIL / "&amp;COUNTIF(E3:E42,"SKIP")&amp;" SKIP"</f>
        <v>36 PASS / 4 FAIL / 0 SKIP</v>
      </c>
      <c r="F43" s="15"/>
      <c r="G43" s="39">
        <f>(SUM(G3:G42)/60)</f>
        <v>7.4736833333333346</v>
      </c>
    </row>
  </sheetData>
  <mergeCells count="2">
    <mergeCell ref="A1:L1"/>
    <mergeCell ref="A43:D43"/>
  </mergeCells>
  <phoneticPr fontId="12" type="noConversion"/>
  <conditionalFormatting sqref="E3:E42">
    <cfRule type="containsText" dxfId="3" priority="1" operator="containsText" text="SKIP">
      <formula>NOT(ISERROR(SEARCH("SKIP",E3)))</formula>
    </cfRule>
    <cfRule type="containsText" dxfId="2" priority="2" operator="containsText" text="PASS">
      <formula>NOT(ISERROR(SEARCH("PASS",E3)))</formula>
    </cfRule>
    <cfRule type="containsText" dxfId="1" priority="3" operator="containsText" text="FAIL">
      <formula>NOT(ISERROR(SEARCH("FAIL",E3)))</formula>
    </cfRule>
    <cfRule type="containsText" dxfId="0" priority="4" operator="containsText" text="PASS">
      <formula>NOT(ISERROR(SEARCH("PASS",E3)))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Test Cases</vt:lpstr>
      <vt:lpstr>Bug Reports</vt:lpstr>
      <vt:lpstr>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Estoconing</dc:creator>
  <cp:lastModifiedBy>Steve Estoconing</cp:lastModifiedBy>
  <dcterms:created xsi:type="dcterms:W3CDTF">2026-06-01T04:06:03Z</dcterms:created>
  <dcterms:modified xsi:type="dcterms:W3CDTF">2026-06-02T06:39:06Z</dcterms:modified>
</cp:coreProperties>
</file>